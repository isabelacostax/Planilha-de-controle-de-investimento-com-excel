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bela\Documents\Curso Excel\"/>
    </mc:Choice>
  </mc:AlternateContent>
  <xr:revisionPtr revIDLastSave="0" documentId="13_ncr:1_{7CF83741-F09B-412E-9616-952069EF0D8B}" xr6:coauthVersionLast="47" xr6:coauthVersionMax="47" xr10:uidLastSave="{00000000-0000-0000-0000-000000000000}"/>
  <bookViews>
    <workbookView xWindow="-108" yWindow="-108" windowWidth="23256" windowHeight="12456" xr2:uid="{FE684A66-C47E-4A36-A248-4C428D6CBCA2}"/>
  </bookViews>
  <sheets>
    <sheet name="Planilha1" sheetId="1" r:id="rId1"/>
    <sheet name="Planilha2" sheetId="2" r:id="rId2"/>
  </sheets>
  <definedNames>
    <definedName name="Aporte">Planilha1!$C$19</definedName>
    <definedName name="patrimonio">Planilha1!$C$22</definedName>
    <definedName name="qtd_anos">Planilha1!$C$20</definedName>
    <definedName name="rendimento_carteira">Planilha1!$C$14</definedName>
    <definedName name="salario">Planilha1!$C$13</definedName>
    <definedName name="sugestao_investimento">Planilha1!$C$15</definedName>
    <definedName name="taxa">Planilha1!$C$21</definedName>
    <definedName name="Taxa_mensal">Planilha1!$C$20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2" i="1" l="1"/>
  <c r="D43" i="1"/>
  <c r="D44" i="1"/>
  <c r="D45" i="1"/>
  <c r="D46" i="1"/>
  <c r="D41" i="1"/>
  <c r="E41" i="1" s="1"/>
  <c r="J3" i="2"/>
  <c r="B16" i="2"/>
  <c r="B17" i="2"/>
  <c r="B18" i="2"/>
  <c r="B19" i="2"/>
  <c r="B20" i="2"/>
  <c r="B15" i="2"/>
  <c r="B10" i="2"/>
  <c r="B11" i="2"/>
  <c r="B12" i="2"/>
  <c r="B13" i="2"/>
  <c r="B14" i="2"/>
  <c r="B9" i="2"/>
  <c r="B4" i="2"/>
  <c r="B5" i="2"/>
  <c r="B6" i="2"/>
  <c r="B7" i="2"/>
  <c r="B8" i="2"/>
  <c r="B3" i="2"/>
  <c r="D37" i="1"/>
  <c r="C22" i="1"/>
  <c r="C23" i="1" s="1"/>
  <c r="C15" i="1"/>
  <c r="C29" i="1"/>
  <c r="D29" i="1" s="1"/>
  <c r="C30" i="1"/>
  <c r="D30" i="1" s="1"/>
  <c r="C31" i="1"/>
  <c r="D31" i="1" s="1"/>
  <c r="C32" i="1"/>
  <c r="D32" i="1" s="1"/>
  <c r="C28" i="1"/>
  <c r="D28" i="1" s="1"/>
  <c r="E42" i="1" l="1"/>
  <c r="E46" i="1"/>
  <c r="E45" i="1"/>
  <c r="E44" i="1"/>
  <c r="E43" i="1"/>
  <c r="E47" i="1" l="1"/>
</calcChain>
</file>

<file path=xl/sharedStrings.xml><?xml version="1.0" encoding="utf-8"?>
<sst xmlns="http://schemas.openxmlformats.org/spreadsheetml/2006/main" count="71" uniqueCount="34">
  <si>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</si>
  <si>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</si>
  <si>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</si>
  <si>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</si>
  <si>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</si>
  <si>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</si>
  <si>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</si>
  <si>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</si>
  <si>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</si>
  <si>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</si>
  <si>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</si>
  <si>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 xml:space="preserve">CENÁRIOS </t>
  </si>
  <si>
    <t>Dividendo</t>
  </si>
  <si>
    <t>Rendimento carteira</t>
  </si>
  <si>
    <t>Salário</t>
  </si>
  <si>
    <t>Sugestão de investimento</t>
  </si>
  <si>
    <t>CONFIGURAÇÕES</t>
  </si>
  <si>
    <t>Perfil</t>
  </si>
  <si>
    <t>Valor a ser investido por mês</t>
  </si>
  <si>
    <t>Tipo de FII</t>
  </si>
  <si>
    <t>Percentual sugerido</t>
  </si>
  <si>
    <t>Papel</t>
  </si>
  <si>
    <t>Tijolo</t>
  </si>
  <si>
    <t>Híbridos</t>
  </si>
  <si>
    <t>FOFs</t>
  </si>
  <si>
    <t>Desenvolvimento</t>
  </si>
  <si>
    <t>Hotelarias</t>
  </si>
  <si>
    <t>Valores</t>
  </si>
  <si>
    <t>Conservador</t>
  </si>
  <si>
    <t>%</t>
  </si>
  <si>
    <t>Chave</t>
  </si>
  <si>
    <t>Moderado</t>
  </si>
  <si>
    <t>Agressivo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</si>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</sst>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&quot;R$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theme="5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2">
    <xf numFmtId="0" fontId="0" fillId="0" borderId="0" xfId="0"/>
    <xf numFmtId="0" fontId="0" fillId="0" borderId="0" xfId="0" applyBorder="1"/>
    <xf numFmtId="0" fontId="0" fillId="0" borderId="3" xfId="0" applyBorder="1"/>
    <xf numFmtId="0" fontId="0" fillId="0" borderId="0" xfId="0" applyAlignment="1">
      <alignment horizontal="center"/>
    </xf>
    <xf numFmtId="0" fontId="4" fillId="0" borderId="0" xfId="0" applyFont="1"/>
    <xf numFmtId="0" fontId="5" fillId="5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0" xfId="0" applyBorder="1" applyAlignment="1">
      <alignment horizontal="left" indent="3"/>
    </xf>
    <xf numFmtId="0" fontId="0" fillId="0" borderId="0" xfId="0" applyAlignment="1">
      <alignment horizontal="right"/>
    </xf>
    <xf numFmtId="166" fontId="0" fillId="0" borderId="0" xfId="0" applyNumberFormat="1" applyBorder="1" applyAlignment="1">
      <alignment horizontal="right"/>
    </xf>
    <xf numFmtId="166" fontId="6" fillId="6" borderId="4" xfId="1" applyNumberFormat="1" applyFont="1" applyFill="1" applyBorder="1" applyAlignment="1">
      <alignment horizontal="right"/>
    </xf>
    <xf numFmtId="0" fontId="6" fillId="0" borderId="5" xfId="0" applyFont="1" applyBorder="1" applyAlignment="1">
      <alignment horizontal="left" indent="3"/>
    </xf>
    <xf numFmtId="166" fontId="6" fillId="0" borderId="6" xfId="0" applyNumberFormat="1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10" fontId="6" fillId="0" borderId="6" xfId="2" applyNumberFormat="1" applyFont="1" applyBorder="1" applyAlignment="1">
      <alignment horizontal="right"/>
    </xf>
    <xf numFmtId="0" fontId="7" fillId="6" borderId="5" xfId="0" applyFont="1" applyFill="1" applyBorder="1" applyAlignment="1">
      <alignment horizontal="left" indent="3"/>
    </xf>
    <xf numFmtId="8" fontId="6" fillId="6" borderId="6" xfId="0" applyNumberFormat="1" applyFont="1" applyFill="1" applyBorder="1" applyAlignment="1">
      <alignment horizontal="right"/>
    </xf>
    <xf numFmtId="0" fontId="7" fillId="6" borderId="7" xfId="0" applyFont="1" applyFill="1" applyBorder="1" applyAlignment="1">
      <alignment horizontal="left" indent="3"/>
    </xf>
    <xf numFmtId="8" fontId="6" fillId="6" borderId="8" xfId="0" applyNumberFormat="1" applyFont="1" applyFill="1" applyBorder="1" applyAlignment="1">
      <alignment horizontal="right"/>
    </xf>
    <xf numFmtId="0" fontId="5" fillId="5" borderId="2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left" indent="3"/>
    </xf>
    <xf numFmtId="166" fontId="6" fillId="0" borderId="6" xfId="1" applyNumberFormat="1" applyFont="1" applyBorder="1" applyAlignment="1">
      <alignment horizontal="right"/>
    </xf>
    <xf numFmtId="9" fontId="6" fillId="0" borderId="6" xfId="2" applyFont="1" applyBorder="1" applyAlignment="1">
      <alignment horizontal="right"/>
    </xf>
    <xf numFmtId="0" fontId="6" fillId="6" borderId="7" xfId="0" applyFont="1" applyFill="1" applyBorder="1" applyAlignment="1">
      <alignment horizontal="left" indent="3"/>
    </xf>
    <xf numFmtId="166" fontId="6" fillId="0" borderId="8" xfId="0" applyNumberFormat="1" applyFont="1" applyBorder="1" applyAlignment="1">
      <alignment horizontal="right"/>
    </xf>
    <xf numFmtId="0" fontId="5" fillId="3" borderId="9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center"/>
    </xf>
    <xf numFmtId="166" fontId="6" fillId="6" borderId="6" xfId="1" applyNumberFormat="1" applyFont="1" applyFill="1" applyBorder="1"/>
    <xf numFmtId="166" fontId="6" fillId="6" borderId="12" xfId="1" applyNumberFormat="1" applyFont="1" applyFill="1" applyBorder="1" applyAlignment="1">
      <alignment horizontal="right"/>
    </xf>
    <xf numFmtId="166" fontId="6" fillId="6" borderId="8" xfId="1" applyNumberFormat="1" applyFont="1" applyFill="1" applyBorder="1"/>
    <xf numFmtId="0" fontId="8" fillId="7" borderId="0" xfId="0" applyFont="1" applyFill="1" applyAlignment="1">
      <alignment horizontal="left" indent="3"/>
    </xf>
    <xf numFmtId="0" fontId="8" fillId="7" borderId="0" xfId="0" applyFont="1" applyFill="1" applyAlignment="1">
      <alignment horizontal="right"/>
    </xf>
    <xf numFmtId="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3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166" fontId="3" fillId="8" borderId="0" xfId="0" applyNumberFormat="1" applyFont="1" applyFill="1" applyAlignment="1">
      <alignment horizontal="center"/>
    </xf>
    <xf numFmtId="0" fontId="0" fillId="0" borderId="3" xfId="0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9" fontId="0" fillId="0" borderId="3" xfId="2" applyNumberFormat="1" applyFont="1" applyBorder="1" applyAlignment="1">
      <alignment horizontal="center"/>
    </xf>
    <xf numFmtId="0" fontId="2" fillId="2" borderId="0" xfId="3"/>
    <xf numFmtId="9" fontId="2" fillId="2" borderId="0" xfId="2" applyFont="1" applyFill="1"/>
    <xf numFmtId="0" fontId="8" fillId="7" borderId="0" xfId="0" applyFont="1" applyFill="1" applyAlignment="1">
      <alignment horizontal="center"/>
    </xf>
    <xf numFmtId="9" fontId="0" fillId="4" borderId="0" xfId="0" applyNumberFormat="1" applyFill="1" applyAlignment="1">
      <alignment horizontal="center"/>
    </xf>
    <xf numFmtId="166" fontId="0" fillId="4" borderId="0" xfId="0" applyNumberFormat="1" applyFill="1" applyAlignment="1">
      <alignment horizontal="center"/>
    </xf>
    <xf numFmtId="0" fontId="0" fillId="4" borderId="0" xfId="0" applyFill="1" applyAlignment="1">
      <alignment horizontal="left" indent="3"/>
    </xf>
    <xf numFmtId="0" fontId="0" fillId="4" borderId="0" xfId="0" applyFill="1" applyAlignment="1">
      <alignment horizontal="right"/>
    </xf>
    <xf numFmtId="166" fontId="0" fillId="4" borderId="0" xfId="0" applyNumberFormat="1" applyFill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Planilha1!$C$40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Planilha1!$B$41:$B$46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Planilha1!$C$41:$C$46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7F49-4084-A206-B8739F8EDC77}"/>
            </c:ext>
          </c:extLst>
        </c:ser>
        <c:ser>
          <c:idx val="1"/>
          <c:order val="1"/>
          <c:tx>
            <c:strRef>
              <c:f>Planilha1!$D$40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Planilha1!$B$41:$B$46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Planilha1!$D$41:$D$46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49-4084-A206-B8739F8ED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571502</xdr:colOff>
      <xdr:row>0</xdr:row>
      <xdr:rowOff>83819</xdr:rowOff>
    </xdr:from>
    <xdr:to>
      <xdr:col>4</xdr:col>
      <xdr:colOff>620059</xdr:colOff>
      <xdr:row>9</xdr:row>
      <xdr:rowOff>10761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56D9ACD-5B02-44D8-97E0-E647B25047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571502" y="83819"/>
          <a:ext cx="5711263" cy="1540589"/>
        </a:xfrm>
        <a:prstGeom prst="rect">
          <a:avLst/>
        </a:prstGeom>
      </xdr:spPr>
    </xdr:pic>
    <xdr:clientData/>
  </xdr:twoCellAnchor>
  <xdr:twoCellAnchor>
    <xdr:from>
      <xdr:col>1</xdr:col>
      <xdr:colOff>855382</xdr:colOff>
      <xdr:row>48</xdr:row>
      <xdr:rowOff>129988</xdr:rowOff>
    </xdr:from>
    <xdr:to>
      <xdr:col>4</xdr:col>
      <xdr:colOff>377264</xdr:colOff>
      <xdr:row>64</xdr:row>
      <xdr:rowOff>4482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87187E1-9250-9FA1-FCF8-5DAD37B867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DC77E-0709-47AC-8F4D-FBC57625EE6B}">
  <dimension ref="A11:H48"/>
  <sheetViews>
    <sheetView showGridLines="0" tabSelected="1" topLeftCell="A3" zoomScale="102" workbookViewId="0">
      <selection activeCell="H43" sqref="H43"/>
    </sheetView>
  </sheetViews>
  <sheetFormatPr defaultColWidth="0" defaultRowHeight="14.4" x14ac:dyDescent="0.3"/>
  <cols>
    <col min="1" max="1" width="8.88671875" customWidth="1"/>
    <col min="2" max="2" width="33.109375" style="8" customWidth="1"/>
    <col min="3" max="3" width="20.33203125" style="10" customWidth="1"/>
    <col min="4" max="4" width="20.109375" customWidth="1"/>
    <col min="5" max="5" width="9.6640625" bestFit="1" customWidth="1"/>
    <col min="6" max="6" width="13.109375" bestFit="1" customWidth="1"/>
    <col min="7" max="7" width="8.88671875" customWidth="1"/>
    <col min="8" max="8" width="12.6640625" bestFit="1" customWidth="1"/>
    <col min="9" max="11" width="8.88671875" customWidth="1"/>
    <col min="12" max="16384" width="8.88671875" hidden="1"/>
  </cols>
  <sheetData>
    <row r="11" spans="2:3" ht="15" thickBot="1" x14ac:dyDescent="0.35"/>
    <row r="12" spans="2:3" ht="21" x14ac:dyDescent="0.4">
      <c r="B12" s="5" t="s">
        <v>16</v>
      </c>
      <c r="C12" s="21"/>
    </row>
    <row r="13" spans="2:3" ht="16.8" x14ac:dyDescent="0.4">
      <c r="B13" s="22" t="s">
        <v>14</v>
      </c>
      <c r="C13" s="23">
        <v>5000</v>
      </c>
    </row>
    <row r="14" spans="2:3" ht="16.8" x14ac:dyDescent="0.4">
      <c r="B14" s="22" t="s">
        <v>13</v>
      </c>
      <c r="C14" s="24">
        <v>0.01</v>
      </c>
    </row>
    <row r="15" spans="2:3" ht="17.399999999999999" thickBot="1" x14ac:dyDescent="0.45">
      <c r="B15" s="25" t="s">
        <v>15</v>
      </c>
      <c r="C15" s="26">
        <f>C13*30%</f>
        <v>1500</v>
      </c>
    </row>
    <row r="16" spans="2:3" x14ac:dyDescent="0.3">
      <c r="B16" s="9"/>
      <c r="C16" s="11"/>
    </row>
    <row r="17" spans="1:4" ht="15" thickBot="1" x14ac:dyDescent="0.35"/>
    <row r="18" spans="1:4" ht="21" x14ac:dyDescent="0.4">
      <c r="B18" s="6" t="s">
        <v>5</v>
      </c>
      <c r="C18" s="7"/>
    </row>
    <row r="19" spans="1:4" ht="16.8" x14ac:dyDescent="0.4">
      <c r="B19" s="13" t="s">
        <v>0</v>
      </c>
      <c r="C19" s="14">
        <v>500</v>
      </c>
    </row>
    <row r="20" spans="1:4" ht="16.8" x14ac:dyDescent="0.4">
      <c r="B20" s="13" t="s">
        <v>1</v>
      </c>
      <c r="C20" s="15">
        <v>5</v>
      </c>
    </row>
    <row r="21" spans="1:4" ht="16.8" x14ac:dyDescent="0.4">
      <c r="B21" s="13" t="s">
        <v>2</v>
      </c>
      <c r="C21" s="16">
        <v>1.0800000000000001E-2</v>
      </c>
    </row>
    <row r="22" spans="1:4" ht="16.8" x14ac:dyDescent="0.4">
      <c r="B22" s="17" t="s">
        <v>3</v>
      </c>
      <c r="C22" s="18">
        <f>FV(taxa,qtd_anos*12,Aporte*-1)</f>
        <v>41902.00967962922</v>
      </c>
    </row>
    <row r="23" spans="1:4" ht="17.399999999999999" thickBot="1" x14ac:dyDescent="0.45">
      <c r="B23" s="19" t="s">
        <v>4</v>
      </c>
      <c r="C23" s="20">
        <f>C22*$C$14</f>
        <v>419.02009679629219</v>
      </c>
    </row>
    <row r="26" spans="1:4" ht="15" thickBot="1" x14ac:dyDescent="0.35"/>
    <row r="27" spans="1:4" ht="21" x14ac:dyDescent="0.4">
      <c r="B27" s="27" t="s">
        <v>11</v>
      </c>
      <c r="C27" s="28"/>
      <c r="D27" s="29" t="s">
        <v>12</v>
      </c>
    </row>
    <row r="28" spans="1:4" ht="16.8" x14ac:dyDescent="0.4">
      <c r="A28" s="4">
        <v>2</v>
      </c>
      <c r="B28" s="22" t="s">
        <v>6</v>
      </c>
      <c r="C28" s="12">
        <f>FV($C$21,$A28*12,$C$19*-1)</f>
        <v>13615.431830290796</v>
      </c>
      <c r="D28" s="30">
        <f>C28*$C$14</f>
        <v>136.15431830290797</v>
      </c>
    </row>
    <row r="29" spans="1:4" ht="16.8" x14ac:dyDescent="0.4">
      <c r="A29" s="4">
        <v>5</v>
      </c>
      <c r="B29" s="22" t="s">
        <v>7</v>
      </c>
      <c r="C29" s="12">
        <f t="shared" ref="C29:C32" si="0">FV($C$21,$A29*12,$C$19*-1)</f>
        <v>41902.00967962922</v>
      </c>
      <c r="D29" s="30">
        <f>C29*$C$14</f>
        <v>419.02009679629219</v>
      </c>
    </row>
    <row r="30" spans="1:4" ht="16.8" x14ac:dyDescent="0.4">
      <c r="A30" s="4">
        <v>10</v>
      </c>
      <c r="B30" s="22" t="s">
        <v>8</v>
      </c>
      <c r="C30" s="12">
        <f t="shared" si="0"/>
        <v>121728.83312740005</v>
      </c>
      <c r="D30" s="30">
        <f>C30*$C$14</f>
        <v>1217.2883312740005</v>
      </c>
    </row>
    <row r="31" spans="1:4" ht="16.8" x14ac:dyDescent="0.4">
      <c r="A31" s="4">
        <v>20</v>
      </c>
      <c r="B31" s="22" t="s">
        <v>9</v>
      </c>
      <c r="C31" s="12">
        <f t="shared" si="0"/>
        <v>563524.49664926168</v>
      </c>
      <c r="D31" s="30">
        <f>C31*$C$14</f>
        <v>5635.2449664926171</v>
      </c>
    </row>
    <row r="32" spans="1:4" ht="17.399999999999999" thickBot="1" x14ac:dyDescent="0.45">
      <c r="A32" s="4">
        <v>30</v>
      </c>
      <c r="B32" s="25" t="s">
        <v>10</v>
      </c>
      <c r="C32" s="31">
        <f t="shared" si="0"/>
        <v>2166952.4051583759</v>
      </c>
      <c r="D32" s="32">
        <f>C32*$C$14</f>
        <v>21669.524051583758</v>
      </c>
    </row>
    <row r="36" spans="2:5" x14ac:dyDescent="0.3">
      <c r="B36" s="33" t="s">
        <v>17</v>
      </c>
      <c r="C36" s="34"/>
      <c r="D36" s="46" t="s">
        <v>32</v>
      </c>
      <c r="E36" s="46"/>
    </row>
    <row r="37" spans="2:5" x14ac:dyDescent="0.3">
      <c r="B37" s="49" t="s">
        <v>18</v>
      </c>
      <c r="C37" s="50"/>
      <c r="D37" s="51">
        <f>Aporte</f>
        <v>500</v>
      </c>
      <c r="E37" s="51"/>
    </row>
    <row r="38" spans="2:5" x14ac:dyDescent="0.3">
      <c r="D38" s="36"/>
      <c r="E38" s="36"/>
    </row>
    <row r="40" spans="2:5" s="3" customFormat="1" x14ac:dyDescent="0.3">
      <c r="B40" s="37" t="s">
        <v>19</v>
      </c>
      <c r="C40" s="37"/>
      <c r="D40" s="37" t="s">
        <v>20</v>
      </c>
      <c r="E40" s="37" t="s">
        <v>27</v>
      </c>
    </row>
    <row r="41" spans="2:5" s="3" customFormat="1" x14ac:dyDescent="0.3">
      <c r="B41" s="3" t="s">
        <v>21</v>
      </c>
      <c r="D41" s="47">
        <f>VLOOKUP($D$36&amp;"-"&amp;B41,Planilha2!$B:$E,4,FALSE)</f>
        <v>0.5</v>
      </c>
      <c r="E41" s="48">
        <f>D41*$D$37</f>
        <v>250</v>
      </c>
    </row>
    <row r="42" spans="2:5" s="3" customFormat="1" x14ac:dyDescent="0.3">
      <c r="B42" s="3" t="s">
        <v>22</v>
      </c>
      <c r="D42" s="47">
        <f>VLOOKUP($D$36&amp;"-"&amp;B42,Planilha2!$B:$E,4,FALSE)</f>
        <v>0.1</v>
      </c>
      <c r="E42" s="48">
        <f t="shared" ref="E42:E46" si="1">D42*$D$37</f>
        <v>50</v>
      </c>
    </row>
    <row r="43" spans="2:5" s="3" customFormat="1" x14ac:dyDescent="0.3">
      <c r="B43" s="3" t="s">
        <v>23</v>
      </c>
      <c r="D43" s="47">
        <f>VLOOKUP($D$36&amp;"-"&amp;B43,Planilha2!$B:$E,4,FALSE)</f>
        <v>0.05</v>
      </c>
      <c r="E43" s="48">
        <f t="shared" si="1"/>
        <v>25</v>
      </c>
    </row>
    <row r="44" spans="2:5" s="3" customFormat="1" x14ac:dyDescent="0.3">
      <c r="B44" s="3" t="s">
        <v>24</v>
      </c>
      <c r="D44" s="47">
        <f>VLOOKUP($D$36&amp;"-"&amp;B44,Planilha2!$B:$E,4,FALSE)</f>
        <v>0.05</v>
      </c>
      <c r="E44" s="48">
        <f t="shared" si="1"/>
        <v>25</v>
      </c>
    </row>
    <row r="45" spans="2:5" s="3" customFormat="1" x14ac:dyDescent="0.3">
      <c r="B45" s="3" t="s">
        <v>25</v>
      </c>
      <c r="D45" s="47">
        <f>VLOOKUP($D$36&amp;"-"&amp;B45,Planilha2!$B:$E,4,FALSE)</f>
        <v>0.2</v>
      </c>
      <c r="E45" s="48">
        <f t="shared" si="1"/>
        <v>100</v>
      </c>
    </row>
    <row r="46" spans="2:5" s="3" customFormat="1" x14ac:dyDescent="0.3">
      <c r="B46" s="3" t="s">
        <v>26</v>
      </c>
      <c r="D46" s="47">
        <f>VLOOKUP($D$36&amp;"-"&amp;B46,Planilha2!$B:$E,4,FALSE)</f>
        <v>0.1</v>
      </c>
      <c r="E46" s="48">
        <f t="shared" si="1"/>
        <v>50</v>
      </c>
    </row>
    <row r="47" spans="2:5" s="3" customFormat="1" x14ac:dyDescent="0.3">
      <c r="B47" s="38"/>
      <c r="C47" s="38"/>
      <c r="D47" s="38"/>
      <c r="E47" s="39">
        <f>SUM(E41:E46)</f>
        <v>500</v>
      </c>
    </row>
    <row r="48" spans="2:5" s="3" customFormat="1" x14ac:dyDescent="0.3"/>
  </sheetData>
  <mergeCells count="5">
    <mergeCell ref="D37:E37"/>
    <mergeCell ref="B27:C27"/>
    <mergeCell ref="B12:C12"/>
    <mergeCell ref="B18:C18"/>
    <mergeCell ref="D36:E36"/>
  </mergeCells>
  <dataValidations disablePrompts="1" count="1">
    <dataValidation type="list" allowBlank="1" showInputMessage="1" showErrorMessage="1" sqref="D36" xr:uid="{999EB1A3-4D53-4926-A4FE-599FE2D5E1A3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CD51-AF1C-41DD-B76F-DAC65ABE5B6C}">
  <dimension ref="B2:J20"/>
  <sheetViews>
    <sheetView workbookViewId="0">
      <selection activeCell="E13" sqref="E13"/>
    </sheetView>
  </sheetViews>
  <sheetFormatPr defaultRowHeight="14.4" x14ac:dyDescent="0.3"/>
  <cols>
    <col min="2" max="2" width="26" bestFit="1" customWidth="1"/>
    <col min="3" max="3" width="11.21875" bestFit="1" customWidth="1"/>
    <col min="4" max="4" width="14.77734375" bestFit="1" customWidth="1"/>
    <col min="5" max="5" width="8.88671875" style="3"/>
    <col min="9" max="9" width="15.44140625" bestFit="1" customWidth="1"/>
  </cols>
  <sheetData>
    <row r="2" spans="2:10" x14ac:dyDescent="0.3">
      <c r="B2" s="37" t="s">
        <v>30</v>
      </c>
      <c r="C2" s="37" t="s">
        <v>17</v>
      </c>
      <c r="D2" s="37" t="s">
        <v>19</v>
      </c>
      <c r="E2" s="37" t="s">
        <v>29</v>
      </c>
      <c r="J2" t="s">
        <v>29</v>
      </c>
    </row>
    <row r="3" spans="2:10" x14ac:dyDescent="0.3">
      <c r="B3" t="str">
        <f>$C$3&amp;"-"&amp;D3</f>
        <v>Conservador-Papel</v>
      </c>
      <c r="C3" t="s">
        <v>28</v>
      </c>
      <c r="D3" s="3" t="s">
        <v>21</v>
      </c>
      <c r="E3" s="35">
        <v>0.3</v>
      </c>
      <c r="I3" s="44" t="s">
        <v>33</v>
      </c>
      <c r="J3" s="45">
        <f>VLOOKUP(I3,$B:$E,4,FALSE)</f>
        <v>0.35</v>
      </c>
    </row>
    <row r="4" spans="2:10" x14ac:dyDescent="0.3">
      <c r="B4" t="str">
        <f t="shared" ref="B4:B20" si="0">$C$3&amp;"-"&amp;D4</f>
        <v>Conservador-Tijolo</v>
      </c>
      <c r="C4" t="s">
        <v>28</v>
      </c>
      <c r="D4" s="3" t="s">
        <v>22</v>
      </c>
      <c r="E4" s="35">
        <v>0.5</v>
      </c>
    </row>
    <row r="5" spans="2:10" x14ac:dyDescent="0.3">
      <c r="B5" t="str">
        <f t="shared" si="0"/>
        <v>Conservador-Híbridos</v>
      </c>
      <c r="C5" t="s">
        <v>28</v>
      </c>
      <c r="D5" s="3" t="s">
        <v>23</v>
      </c>
      <c r="E5" s="35">
        <v>0.1</v>
      </c>
    </row>
    <row r="6" spans="2:10" x14ac:dyDescent="0.3">
      <c r="B6" t="str">
        <f t="shared" si="0"/>
        <v>Conservador-FOFs</v>
      </c>
      <c r="C6" t="s">
        <v>28</v>
      </c>
      <c r="D6" s="3" t="s">
        <v>24</v>
      </c>
      <c r="E6" s="35">
        <v>0.1</v>
      </c>
    </row>
    <row r="7" spans="2:10" x14ac:dyDescent="0.3">
      <c r="B7" t="str">
        <f t="shared" si="0"/>
        <v>Conservador-Desenvolvimento</v>
      </c>
      <c r="C7" t="s">
        <v>28</v>
      </c>
      <c r="D7" s="3" t="s">
        <v>25</v>
      </c>
      <c r="E7" s="35">
        <v>0</v>
      </c>
    </row>
    <row r="8" spans="2:10" ht="15" thickBot="1" x14ac:dyDescent="0.35">
      <c r="B8" s="2" t="str">
        <f t="shared" si="0"/>
        <v>Conservador-Hotelarias</v>
      </c>
      <c r="C8" s="2" t="s">
        <v>28</v>
      </c>
      <c r="D8" s="40" t="s">
        <v>26</v>
      </c>
      <c r="E8" s="41">
        <v>0</v>
      </c>
    </row>
    <row r="9" spans="2:10" x14ac:dyDescent="0.3">
      <c r="B9" s="1" t="str">
        <f>$C$9&amp;"-"&amp;D9</f>
        <v>Moderado-Papel</v>
      </c>
      <c r="C9" t="s">
        <v>31</v>
      </c>
      <c r="D9" s="3" t="s">
        <v>21</v>
      </c>
      <c r="E9" s="42">
        <v>0.32</v>
      </c>
    </row>
    <row r="10" spans="2:10" x14ac:dyDescent="0.3">
      <c r="B10" s="1" t="str">
        <f t="shared" ref="B10:B14" si="1">$C$9&amp;"-"&amp;D10</f>
        <v>Moderado-Tijolo</v>
      </c>
      <c r="C10" t="s">
        <v>31</v>
      </c>
      <c r="D10" s="3" t="s">
        <v>22</v>
      </c>
      <c r="E10" s="42">
        <v>0.35</v>
      </c>
    </row>
    <row r="11" spans="2:10" x14ac:dyDescent="0.3">
      <c r="B11" s="1" t="str">
        <f t="shared" si="1"/>
        <v>Moderado-Híbridos</v>
      </c>
      <c r="C11" t="s">
        <v>31</v>
      </c>
      <c r="D11" s="3" t="s">
        <v>23</v>
      </c>
      <c r="E11" s="42">
        <v>0.08</v>
      </c>
    </row>
    <row r="12" spans="2:10" x14ac:dyDescent="0.3">
      <c r="B12" s="1" t="str">
        <f t="shared" si="1"/>
        <v>Moderado-FOFs</v>
      </c>
      <c r="C12" t="s">
        <v>31</v>
      </c>
      <c r="D12" s="3" t="s">
        <v>24</v>
      </c>
      <c r="E12" s="42">
        <v>0.05</v>
      </c>
    </row>
    <row r="13" spans="2:10" x14ac:dyDescent="0.3">
      <c r="B13" s="1" t="str">
        <f t="shared" si="1"/>
        <v>Moderado-Desenvolvimento</v>
      </c>
      <c r="C13" t="s">
        <v>31</v>
      </c>
      <c r="D13" s="3" t="s">
        <v>25</v>
      </c>
      <c r="E13" s="42">
        <v>0.1</v>
      </c>
    </row>
    <row r="14" spans="2:10" ht="15" thickBot="1" x14ac:dyDescent="0.35">
      <c r="B14" s="2" t="str">
        <f t="shared" si="1"/>
        <v>Moderado-Hotelarias</v>
      </c>
      <c r="C14" s="2" t="s">
        <v>31</v>
      </c>
      <c r="D14" s="40" t="s">
        <v>26</v>
      </c>
      <c r="E14" s="43">
        <v>0.1</v>
      </c>
    </row>
    <row r="15" spans="2:10" x14ac:dyDescent="0.3">
      <c r="B15" s="1" t="str">
        <f>$C$15&amp;"-"&amp;D15</f>
        <v>Agressivo-Papel</v>
      </c>
      <c r="C15" t="s">
        <v>32</v>
      </c>
      <c r="D15" s="3" t="s">
        <v>21</v>
      </c>
      <c r="E15" s="42">
        <v>0.5</v>
      </c>
    </row>
    <row r="16" spans="2:10" x14ac:dyDescent="0.3">
      <c r="B16" s="1" t="str">
        <f t="shared" ref="B16:B20" si="2">$C$15&amp;"-"&amp;D16</f>
        <v>Agressivo-Tijolo</v>
      </c>
      <c r="C16" t="s">
        <v>32</v>
      </c>
      <c r="D16" s="3" t="s">
        <v>22</v>
      </c>
      <c r="E16" s="42">
        <v>0.1</v>
      </c>
    </row>
    <row r="17" spans="2:5" x14ac:dyDescent="0.3">
      <c r="B17" s="1" t="str">
        <f t="shared" si="2"/>
        <v>Agressivo-Híbridos</v>
      </c>
      <c r="C17" t="s">
        <v>32</v>
      </c>
      <c r="D17" s="3" t="s">
        <v>23</v>
      </c>
      <c r="E17" s="42">
        <v>0.05</v>
      </c>
    </row>
    <row r="18" spans="2:5" x14ac:dyDescent="0.3">
      <c r="B18" s="1" t="str">
        <f t="shared" si="2"/>
        <v>Agressivo-FOFs</v>
      </c>
      <c r="C18" t="s">
        <v>32</v>
      </c>
      <c r="D18" s="3" t="s">
        <v>24</v>
      </c>
      <c r="E18" s="42">
        <v>0.05</v>
      </c>
    </row>
    <row r="19" spans="2:5" x14ac:dyDescent="0.3">
      <c r="B19" s="1" t="str">
        <f t="shared" si="2"/>
        <v>Agressivo-Desenvolvimento</v>
      </c>
      <c r="C19" t="s">
        <v>32</v>
      </c>
      <c r="D19" s="3" t="s">
        <v>25</v>
      </c>
      <c r="E19" s="42">
        <v>0.2</v>
      </c>
    </row>
    <row r="20" spans="2:5" x14ac:dyDescent="0.3">
      <c r="B20" s="1" t="str">
        <f t="shared" si="2"/>
        <v>Agressivo-Hotelarias</v>
      </c>
      <c r="C20" t="s">
        <v>32</v>
      </c>
      <c r="D20" s="3" t="s">
        <v>26</v>
      </c>
      <c r="E20" s="42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Isabela Costa</dc:creator>
  <cp:lastModifiedBy>Isabela Costa</cp:lastModifiedBy>
  <dcterms:created xsi:type="dcterms:W3CDTF">2026-10-17T00:24:11Z</dcterms:created>
  <dcterms:modified xsi:type="dcterms:W3CDTF">2026-10-17T02:25:48Z</dcterms:modified>
</cp:coreProperties>
</file>